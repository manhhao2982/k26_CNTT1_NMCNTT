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Bảo vệ trang tính1" sheetId="1" r:id="rId1"/>
  </sheets>
  <definedNames>
    <definedName name="_xlnm._FilterDatabase" localSheetId="0" hidden="1">'Bảo vệ trang tính1'!$A$19:$F$24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<sst xmlns="http://schemas.openxmlformats.org/spreadsheetml/2006/main" count="126" uniqueCount="47">
  <si>
    <t>Phần 2</t>
  </si>
  <si>
    <t>Lỗi</t>
  </si>
  <si>
    <t>Vị trí(hàng)</t>
  </si>
  <si>
    <t>Quy tắc bị vi phạm</t>
  </si>
  <si>
    <t>Để cách một hàng trống</t>
  </si>
  <si>
    <t>Dòng tổng cộng nằm trong vùng dữ liệu</t>
  </si>
  <si>
    <t>Merge ô</t>
  </si>
  <si>
    <t>DANH SÁCH MƯỢN SÁCH THÁNG 10</t>
  </si>
  <si>
    <t>STT</t>
  </si>
  <si>
    <t>MSSV</t>
  </si>
  <si>
    <t>Họ Tên</t>
  </si>
  <si>
    <t>Mã Sách</t>
  </si>
  <si>
    <t>Ngày Mượn</t>
  </si>
  <si>
    <t>Tình Trạng</t>
  </si>
  <si>
    <t>SV001</t>
  </si>
  <si>
    <t>Nguyễn Văn An</t>
  </si>
  <si>
    <t>S001</t>
  </si>
  <si>
    <t>Đang mượn</t>
  </si>
  <si>
    <t>SV002</t>
  </si>
  <si>
    <t>Trần Thị Bình</t>
  </si>
  <si>
    <t>S002</t>
  </si>
  <si>
    <t>Quá hạn</t>
  </si>
  <si>
    <t>SV003</t>
  </si>
  <si>
    <t>Lê Văn Cường</t>
  </si>
  <si>
    <t>S003</t>
  </si>
  <si>
    <t>Đã trả</t>
  </si>
  <si>
    <t>SV004</t>
  </si>
  <si>
    <t>Phạm Thu Hà</t>
  </si>
  <si>
    <t>S099</t>
  </si>
  <si>
    <t>Tổng cộng</t>
  </si>
  <si>
    <t>4 phiếu</t>
  </si>
  <si>
    <t>Record</t>
  </si>
  <si>
    <t>Field</t>
  </si>
  <si>
    <t>Phần 3</t>
  </si>
  <si>
    <t>3.1</t>
  </si>
  <si>
    <t>Tên sách</t>
  </si>
  <si>
    <t>Tên Sách</t>
  </si>
  <si>
    <t>Thể Loại</t>
  </si>
  <si>
    <t>Lập Trình C Căn Bản</t>
  </si>
  <si>
    <t>Công nghệ thông tin</t>
  </si>
  <si>
    <t>Giải Tích 1</t>
  </si>
  <si>
    <t>Toán học</t>
  </si>
  <si>
    <t>Kỹ Năng Mềm</t>
  </si>
  <si>
    <t>Kỹ năng sống</t>
  </si>
  <si>
    <t>3.2</t>
  </si>
  <si>
    <t>Mã sách S099 lỗi không tìm thấy tên sách vì trong bông tên sách không có tên của mã sách này</t>
  </si>
  <si>
    <t>3.3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</si>
</sst>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 wrapText="1"/>
    </xf>
    <xf numFmtId="0" fontId="0" fillId="3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ont="1" applyFill="1" applyBorder="1" applyAlignment="1">
      <alignment horizontal="left" vertical="center"/>
    </xf>
    <xf numFmtId="0" fontId="0" fillId="4" borderId="1" xfId="0" applyFont="1" applyFill="1" applyBorder="1">
      <alignment vertical="center"/>
    </xf>
    <xf numFmtId="58" fontId="0" fillId="4" borderId="1" xfId="0" applyNumberFormat="1" applyFont="1" applyFill="1" applyBorder="1">
      <alignment vertical="center"/>
    </xf>
    <xf numFmtId="0" fontId="0" fillId="3" borderId="1" xfId="0" applyFill="1" applyBorder="1" applyAlignment="1">
      <alignment horizontal="left" vertical="center"/>
    </xf>
    <xf numFmtId="58" fontId="0" fillId="0" borderId="1" xfId="0" applyNumberFormat="1" applyBorder="1">
      <alignment vertical="center"/>
    </xf>
    <xf numFmtId="0" fontId="0" fillId="4" borderId="0" xfId="0" applyFill="1">
      <alignment vertical="center"/>
    </xf>
    <xf numFmtId="0" fontId="0" fillId="3" borderId="0" xfId="0" applyFill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>
      <alignment vertical="center"/>
    </xf>
    <xf numFmtId="58" fontId="0" fillId="0" borderId="1" xfId="0" applyNumberFormat="1" applyFont="1" applyFill="1" applyBorder="1">
      <alignment vertical="center"/>
    </xf>
    <xf numFmtId="0" fontId="0" fillId="0" borderId="1" xfId="0" applyFill="1" applyBorder="1" applyAlignment="1">
      <alignment horizontal="left" vertical="center"/>
    </xf>
    <xf numFmtId="58" fontId="0" fillId="0" borderId="1" xfId="0" applyNumberForma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applyFill="1">
      <alignment vertic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54"/>
  <sheetViews>
    <sheetView tabSelected="1" topLeftCell="A11" workbookViewId="0">
      <selection activeCell="G31" sqref="G31"/>
    </sheetView>
  </sheetViews>
  <sheetFormatPr defaultColWidth="8.88888888888889" defaultRowHeight="14.4" outlineLevelCol="6"/>
  <cols>
    <col min="2" max="2" width="9.77777777777778" customWidth="1"/>
    <col min="3" max="3" width="33.5555555555556" customWidth="1"/>
    <col min="4" max="4" width="12.2222222222222" customWidth="1"/>
    <col min="5" max="5" width="11.1111111111111" customWidth="1"/>
    <col min="6" max="6" width="10.1111111111111" customWidth="1"/>
    <col min="7" max="7" width="18.7777777777778" customWidth="1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 t="s">
        <v>3</v>
      </c>
    </row>
    <row r="3" spans="1:6">
      <c r="A3" s="3">
        <v>1</v>
      </c>
      <c r="B3" s="3">
        <v>5</v>
      </c>
      <c r="C3" s="2" t="s">
        <v>4</v>
      </c>
    </row>
    <row r="4" spans="1:6">
      <c r="A4" s="3">
        <v>2</v>
      </c>
      <c r="B4" s="3">
        <v>6</v>
      </c>
      <c r="C4" s="2" t="s">
        <v>5</v>
      </c>
    </row>
    <row r="5" spans="1:6">
      <c r="A5" s="3">
        <v>3</v>
      </c>
      <c r="B5" s="3">
        <v>1</v>
      </c>
      <c r="C5" s="2" t="s">
        <v>6</v>
      </c>
    </row>
    <row r="7" ht="86.4" spans="1:6">
      <c r="A7" s="4" t="s">
        <v>7</v>
      </c>
    </row>
    <row r="8" spans="1:6">
      <c r="A8" s="5" t="s">
        <v>8</v>
      </c>
      <c r="B8" s="6" t="s">
        <v>9</v>
      </c>
      <c r="C8" s="2" t="s">
        <v>10</v>
      </c>
      <c r="D8" s="2" t="s">
        <v>11</v>
      </c>
      <c r="E8" s="2" t="s">
        <v>12</v>
      </c>
      <c r="F8" s="2" t="s">
        <v>13</v>
      </c>
    </row>
    <row r="9" spans="1:6">
      <c r="A9" s="7">
        <v>1</v>
      </c>
      <c r="B9" s="8" t="s">
        <v>14</v>
      </c>
      <c r="C9" s="8" t="s">
        <v>15</v>
      </c>
      <c r="D9" s="8" t="s">
        <v>16</v>
      </c>
      <c r="E9" s="9">
        <v>46296</v>
      </c>
      <c r="F9" s="8" t="s">
        <v>17</v>
      </c>
    </row>
    <row r="10" spans="1:6">
      <c r="A10" s="10">
        <v>2</v>
      </c>
      <c r="B10" s="2" t="s">
        <v>18</v>
      </c>
      <c r="C10" s="2" t="s">
        <v>19</v>
      </c>
      <c r="D10" s="2" t="s">
        <v>20</v>
      </c>
      <c r="E10" s="11">
        <v>46298</v>
      </c>
      <c r="F10" s="2" t="s">
        <v>21</v>
      </c>
    </row>
    <row r="11" spans="1:6">
      <c r="A11" s="10">
        <v>3</v>
      </c>
      <c r="B11" s="2" t="s">
        <v>22</v>
      </c>
      <c r="C11" s="2" t="s">
        <v>23</v>
      </c>
      <c r="D11" s="2" t="s">
        <v>24</v>
      </c>
      <c r="E11" s="11">
        <v>46305</v>
      </c>
      <c r="F11" s="2" t="s">
        <v>25</v>
      </c>
    </row>
    <row r="12" spans="1:6">
      <c r="A12" s="10">
        <v>4</v>
      </c>
      <c r="B12" s="2" t="s">
        <v>26</v>
      </c>
      <c r="C12" s="2" t="s">
        <v>27</v>
      </c>
      <c r="D12" s="2" t="s">
        <v>28</v>
      </c>
      <c r="E12" s="11">
        <v>46307</v>
      </c>
      <c r="F12" s="2" t="s">
        <v>17</v>
      </c>
    </row>
    <row r="13" spans="1:6">
      <c r="A13" s="10">
        <v>5</v>
      </c>
      <c r="B13" s="2" t="s">
        <v>29</v>
      </c>
      <c r="C13" s="2"/>
      <c r="D13" s="2"/>
      <c r="E13" s="2"/>
      <c r="F13" s="2" t="s">
        <v>30</v>
      </c>
    </row>
    <row r="15" spans="1:6">
      <c r="A15" s="12" t="s">
        <v>31</v>
      </c>
      <c r="B15" s="13" t="s">
        <v>32</v>
      </c>
    </row>
    <row r="19" spans="1:7">
      <c r="A19" s="14" t="s">
        <v>8</v>
      </c>
      <c r="B19" s="15" t="s">
        <v>9</v>
      </c>
      <c r="C19" s="16" t="s">
        <v>10</v>
      </c>
      <c r="D19" s="16" t="s">
        <v>11</v>
      </c>
      <c r="E19" s="16" t="s">
        <v>12</v>
      </c>
      <c r="F19" s="16" t="s">
        <v>13</v>
      </c>
    </row>
    <row r="20" hidden="1" spans="1:7">
      <c r="A20" s="17">
        <v>1</v>
      </c>
      <c r="B20" s="18" t="s">
        <v>14</v>
      </c>
      <c r="C20" s="18" t="s">
        <v>15</v>
      </c>
      <c r="D20" s="18" t="s">
        <v>16</v>
      </c>
      <c r="E20" s="19">
        <v>46296</v>
      </c>
      <c r="F20" s="18" t="s">
        <v>17</v>
      </c>
    </row>
    <row r="21" spans="1:7">
      <c r="A21" s="20">
        <v>2</v>
      </c>
      <c r="B21" s="16" t="s">
        <v>18</v>
      </c>
      <c r="C21" s="16" t="s">
        <v>19</v>
      </c>
      <c r="D21" s="16" t="s">
        <v>20</v>
      </c>
      <c r="E21" s="21">
        <v>46298</v>
      </c>
      <c r="F21" s="16" t="s">
        <v>21</v>
      </c>
    </row>
    <row r="22" hidden="1" spans="1:7">
      <c r="A22" s="20">
        <v>3</v>
      </c>
      <c r="B22" s="16" t="s">
        <v>22</v>
      </c>
      <c r="C22" s="16" t="s">
        <v>23</v>
      </c>
      <c r="D22" s="16" t="s">
        <v>24</v>
      </c>
      <c r="E22" s="21">
        <v>46305</v>
      </c>
      <c r="F22" s="16" t="s">
        <v>25</v>
      </c>
    </row>
    <row r="23" hidden="1" spans="1:7">
      <c r="A23" s="20">
        <v>4</v>
      </c>
      <c r="B23" s="16" t="s">
        <v>26</v>
      </c>
      <c r="C23" s="16" t="s">
        <v>27</v>
      </c>
      <c r="D23" s="16" t="s">
        <v>28</v>
      </c>
      <c r="E23" s="21">
        <v>46307</v>
      </c>
      <c r="F23" s="16" t="s">
        <v>17</v>
      </c>
    </row>
    <row r="24" hidden="1" spans="1:7">
      <c r="A24" s="20">
        <v>5</v>
      </c>
      <c r="B24" s="16" t="s">
        <v>29</v>
      </c>
      <c r="C24" s="16"/>
      <c r="D24" s="16"/>
      <c r="E24" s="16"/>
      <c r="F24" s="16" t="s">
        <v>30</v>
      </c>
    </row>
    <row r="26" spans="1:7">
      <c r="A26" s="1" t="s">
        <v>33</v>
      </c>
    </row>
    <row r="28" spans="1:7">
      <c r="A28" t="s">
        <v>34</v>
      </c>
    </row>
    <row r="30" spans="1:7">
      <c r="A30" s="14" t="s">
        <v>8</v>
      </c>
      <c r="B30" s="15" t="s">
        <v>9</v>
      </c>
      <c r="C30" s="16" t="s">
        <v>10</v>
      </c>
      <c r="D30" s="16" t="s">
        <v>11</v>
      </c>
      <c r="E30" s="16" t="s">
        <v>12</v>
      </c>
      <c r="F30" s="16" t="s">
        <v>13</v>
      </c>
      <c r="G30" s="2" t="s">
        <v>35</v>
      </c>
    </row>
    <row r="31" spans="1:7">
      <c r="A31" s="17">
        <v>1</v>
      </c>
      <c r="B31" s="18" t="s">
        <v>14</v>
      </c>
      <c r="C31" s="18" t="s">
        <v>15</v>
      </c>
      <c r="D31" s="18" t="s">
        <v>16</v>
      </c>
      <c r="E31" s="19">
        <v>46296</v>
      </c>
      <c r="F31" s="18" t="s">
        <v>17</v>
      </c>
      <c r="G31" s="2" t="str">
        <f xml:space="preserve">VLOOKUP(B38,B38:D40,2,1)</f>
        <v>Lập Trình C Căn Bản</v>
      </c>
    </row>
    <row r="32" spans="1:7">
      <c r="A32" s="20">
        <v>2</v>
      </c>
      <c r="B32" s="16" t="s">
        <v>18</v>
      </c>
      <c r="C32" s="16" t="s">
        <v>19</v>
      </c>
      <c r="D32" s="16" t="s">
        <v>20</v>
      </c>
      <c r="E32" s="21">
        <v>46298</v>
      </c>
      <c r="F32" s="16" t="s">
        <v>21</v>
      </c>
      <c r="G32" s="2" t="str">
        <f xml:space="preserve">VLOOKUP(B39,B36:D38,2,1)</f>
        <v>Lập Trình C Căn Bản</v>
      </c>
    </row>
    <row r="33" spans="1:7">
      <c r="A33" s="20">
        <v>3</v>
      </c>
      <c r="B33" s="16" t="s">
        <v>22</v>
      </c>
      <c r="C33" s="16" t="s">
        <v>23</v>
      </c>
      <c r="D33" s="16" t="s">
        <v>24</v>
      </c>
      <c r="E33" s="21">
        <v>46305</v>
      </c>
      <c r="F33" s="16" t="s">
        <v>25</v>
      </c>
      <c r="G33" s="2" t="str">
        <f xml:space="preserve">VLOOKUP(B40,B37:D39,2,1)</f>
        <v>Giải Tích 1</v>
      </c>
    </row>
    <row r="34" spans="1:7">
      <c r="A34" s="20">
        <v>4</v>
      </c>
      <c r="B34" s="16" t="s">
        <v>26</v>
      </c>
      <c r="C34" s="16" t="s">
        <v>27</v>
      </c>
      <c r="D34" s="16" t="s">
        <v>28</v>
      </c>
      <c r="E34" s="21">
        <v>46307</v>
      </c>
      <c r="F34" s="16" t="s">
        <v>17</v>
      </c>
      <c r="G34" s="2" t="e">
        <f xml:space="preserve">VLOOKUP(#REF!,#REF!,2,1)</f>
        <v>#REF!</v>
      </c>
    </row>
    <row r="35" spans="1:7">
      <c r="A35" s="20">
        <v>5</v>
      </c>
      <c r="B35" s="16" t="s">
        <v>29</v>
      </c>
      <c r="C35" s="16"/>
      <c r="D35" s="16"/>
      <c r="E35" s="16"/>
      <c r="F35" s="16" t="s">
        <v>30</v>
      </c>
      <c r="G35" s="2"/>
    </row>
    <row r="37" spans="1:7">
      <c r="A37" s="2" t="s">
        <v>8</v>
      </c>
      <c r="B37" s="2" t="s">
        <v>11</v>
      </c>
      <c r="C37" s="2" t="s">
        <v>36</v>
      </c>
      <c r="D37" s="2" t="s">
        <v>37</v>
      </c>
    </row>
    <row r="38" spans="1:7">
      <c r="A38" s="3">
        <v>1</v>
      </c>
      <c r="B38" s="2" t="s">
        <v>16</v>
      </c>
      <c r="C38" s="2" t="s">
        <v>38</v>
      </c>
      <c r="D38" s="2" t="s">
        <v>39</v>
      </c>
    </row>
    <row r="39" spans="1:7">
      <c r="A39" s="3">
        <v>2</v>
      </c>
      <c r="B39" s="2" t="s">
        <v>20</v>
      </c>
      <c r="C39" s="2" t="s">
        <v>40</v>
      </c>
      <c r="D39" s="2" t="s">
        <v>41</v>
      </c>
    </row>
    <row r="40" spans="1:7">
      <c r="A40" s="3">
        <v>3</v>
      </c>
      <c r="B40" s="2" t="s">
        <v>24</v>
      </c>
      <c r="C40" s="2" t="s">
        <v>42</v>
      </c>
      <c r="D40" s="2" t="s">
        <v>43</v>
      </c>
    </row>
    <row r="42" spans="1:7">
      <c r="A42" t="s">
        <v>44</v>
      </c>
    </row>
    <row r="43" spans="1:7">
      <c r="A43" s="22" t="s">
        <v>45</v>
      </c>
      <c r="B43" s="22"/>
      <c r="C43" s="22"/>
      <c r="D43" s="22"/>
      <c r="E43" s="22"/>
    </row>
    <row r="45" spans="1:7">
      <c r="A45" t="s">
        <v>46</v>
      </c>
    </row>
    <row r="46" spans="1:7">
      <c r="A46" s="14" t="s">
        <v>8</v>
      </c>
      <c r="B46" s="15" t="s">
        <v>9</v>
      </c>
      <c r="C46" s="16" t="s">
        <v>10</v>
      </c>
      <c r="D46" s="16" t="s">
        <v>11</v>
      </c>
      <c r="E46" s="16" t="s">
        <v>12</v>
      </c>
      <c r="F46" s="16" t="s">
        <v>13</v>
      </c>
      <c r="G46" s="2" t="s">
        <v>35</v>
      </c>
    </row>
    <row r="47" spans="1:7">
      <c r="A47" s="17">
        <v>1</v>
      </c>
      <c r="B47" s="18" t="s">
        <v>14</v>
      </c>
      <c r="C47" s="18" t="s">
        <v>15</v>
      </c>
      <c r="D47" s="18" t="s">
        <v>16</v>
      </c>
      <c r="E47" s="19">
        <v>46296</v>
      </c>
      <c r="F47" s="18" t="s">
        <v>17</v>
      </c>
      <c r="G47" s="2" t="str">
        <f xml:space="preserve">IFERROR(VLOOKUP(B38,B38:D40,2,1),"Không tìm thấy sách")</f>
        <v>Lập Trình C Căn Bản</v>
      </c>
    </row>
    <row r="48" spans="1:7">
      <c r="A48" s="20">
        <v>2</v>
      </c>
      <c r="B48" s="16" t="s">
        <v>18</v>
      </c>
      <c r="C48" s="16" t="s">
        <v>19</v>
      </c>
      <c r="D48" s="16" t="s">
        <v>20</v>
      </c>
      <c r="E48" s="21">
        <v>46298</v>
      </c>
      <c r="F48" s="16" t="s">
        <v>21</v>
      </c>
      <c r="G48" s="2" t="str">
        <f xml:space="preserve">IFERROR(VLOOKUP(B39,B39:D41,2,1),"Không tìm thấy sách")</f>
        <v>Giải Tích 1</v>
      </c>
    </row>
    <row r="49" spans="1:7">
      <c r="A49" s="20">
        <v>3</v>
      </c>
      <c r="B49" s="16" t="s">
        <v>22</v>
      </c>
      <c r="C49" s="16" t="s">
        <v>23</v>
      </c>
      <c r="D49" s="16" t="s">
        <v>24</v>
      </c>
      <c r="E49" s="21">
        <v>46305</v>
      </c>
      <c r="F49" s="16" t="s">
        <v>25</v>
      </c>
      <c r="G49" s="2" t="str">
        <f xml:space="preserve">IFERROR(VLOOKUP(B40,B40:D42,2,1),"Không tìm thấy sách")</f>
        <v>Kỹ Năng Mềm</v>
      </c>
    </row>
    <row r="50" spans="1:7">
      <c r="A50" s="20">
        <v>4</v>
      </c>
      <c r="B50" s="16" t="s">
        <v>26</v>
      </c>
      <c r="C50" s="16" t="s">
        <v>27</v>
      </c>
      <c r="D50" s="16" t="s">
        <v>28</v>
      </c>
      <c r="E50" s="21">
        <v>46307</v>
      </c>
      <c r="F50" s="16" t="s">
        <v>17</v>
      </c>
      <c r="G50" s="2" t="str">
        <f xml:space="preserve">IFERROR(VLOOKUP(B41,B41:D43,2,1),"Không tìm thấy sách")</f>
        <v>Không tìm thấy sách</v>
      </c>
    </row>
    <row r="51" spans="1:7">
      <c r="A51" s="20">
        <v>5</v>
      </c>
      <c r="B51" s="16" t="s">
        <v>29</v>
      </c>
      <c r="C51" s="16"/>
      <c r="D51" s="16"/>
      <c r="E51" s="16"/>
      <c r="F51" s="16" t="s">
        <v>30</v>
      </c>
      <c r="G51" s="2"/>
    </row>
    <row r="54" spans="1:7">
      <c r="A54" s="23"/>
    </row>
  </sheetData>
  <autoFilter xmlns:etc="http://www.wps.cn/officeDocument/2017/etCustomData" ref="A19:F24" etc:filterBottomFollowUsedRange="0">
    <filterColumn colId="5">
      <filters>
        <filter val="Quá hạn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Bảo vệ 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 Hao</dc:creator>
  <cp:lastModifiedBy>hào mạnh</cp:lastModifiedBy>
  <dcterms:created xsi:type="dcterms:W3CDTF">2026-10-19T14:37:11Z</dcterms:created>
  <dcterms:modified xsi:type="dcterms:W3CDTF">2026-10-19T16:52:28Z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D0886F9E9C49493F88ACA4CA3FF807B9_11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1</vt:i4>
  </property>
</Properties>
</file>